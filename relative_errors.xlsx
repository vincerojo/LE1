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08137108dea433/SOLST01/LE1/"/>
    </mc:Choice>
  </mc:AlternateContent>
  <xr:revisionPtr revIDLastSave="14" documentId="8_{D1A3B665-C993-4C0E-A845-D4F10D1911DC}" xr6:coauthVersionLast="47" xr6:coauthVersionMax="47" xr10:uidLastSave="{F2233617-5DFD-45CA-89A9-5ED33AF03E11}"/>
  <bookViews>
    <workbookView xWindow="-108" yWindow="-108" windowWidth="23256" windowHeight="12456" xr2:uid="{DCFC88CA-BAA9-4A1E-BB33-CADF8350A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4" i="1" l="1"/>
  <c r="G64" i="1"/>
  <c r="I64" i="1"/>
  <c r="K64" i="1"/>
  <c r="M64" i="1"/>
  <c r="E65" i="1"/>
  <c r="G65" i="1"/>
  <c r="I65" i="1"/>
  <c r="K65" i="1"/>
  <c r="M65" i="1"/>
  <c r="E66" i="1"/>
  <c r="G66" i="1"/>
  <c r="I66" i="1"/>
  <c r="K66" i="1"/>
  <c r="M66" i="1"/>
  <c r="E67" i="1"/>
  <c r="G67" i="1"/>
  <c r="I67" i="1"/>
  <c r="K67" i="1"/>
  <c r="M67" i="1"/>
  <c r="G63" i="1"/>
  <c r="I63" i="1"/>
  <c r="K63" i="1"/>
  <c r="M63" i="1"/>
  <c r="E63" i="1"/>
  <c r="D2" i="1"/>
  <c r="E2" i="1" s="1"/>
  <c r="E40" i="1"/>
  <c r="G40" i="1"/>
  <c r="I40" i="1"/>
  <c r="K40" i="1"/>
  <c r="M40" i="1"/>
  <c r="E41" i="1"/>
  <c r="G41" i="1"/>
  <c r="I41" i="1"/>
  <c r="K41" i="1"/>
  <c r="M41" i="1"/>
  <c r="E42" i="1"/>
  <c r="G42" i="1"/>
  <c r="I42" i="1"/>
  <c r="K42" i="1"/>
  <c r="M42" i="1"/>
  <c r="E43" i="1"/>
  <c r="G43" i="1"/>
  <c r="I43" i="1"/>
  <c r="K43" i="1"/>
  <c r="M43" i="1"/>
  <c r="G39" i="1"/>
  <c r="I39" i="1"/>
  <c r="K39" i="1"/>
  <c r="M39" i="1"/>
  <c r="E39" i="1"/>
  <c r="L2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J3" i="1"/>
  <c r="J4" i="1"/>
  <c r="J5" i="1"/>
  <c r="J6" i="1"/>
  <c r="J7" i="1"/>
  <c r="J8" i="1"/>
  <c r="J9" i="1"/>
  <c r="N9" i="1" s="1"/>
  <c r="J10" i="1"/>
  <c r="N10" i="1" s="1"/>
  <c r="J11" i="1"/>
  <c r="N11" i="1" s="1"/>
  <c r="J12" i="1"/>
  <c r="N12" i="1" s="1"/>
  <c r="J13" i="1"/>
  <c r="N13" i="1" s="1"/>
  <c r="J14" i="1"/>
  <c r="J15" i="1"/>
  <c r="J16" i="1"/>
  <c r="J17" i="1"/>
  <c r="J18" i="1"/>
  <c r="J19" i="1"/>
  <c r="J20" i="1"/>
  <c r="J21" i="1"/>
  <c r="E16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D17" i="1"/>
  <c r="E17" i="1" s="1"/>
  <c r="D18" i="1"/>
  <c r="E18" i="1" s="1"/>
  <c r="D19" i="1"/>
  <c r="E19" i="1" s="1"/>
  <c r="D20" i="1"/>
  <c r="E20" i="1" s="1"/>
  <c r="D21" i="1"/>
  <c r="E21" i="1" s="1"/>
  <c r="N7" i="1" l="1"/>
  <c r="P7" i="1" s="1"/>
  <c r="N21" i="1"/>
  <c r="P21" i="1" s="1"/>
  <c r="N20" i="1"/>
  <c r="P20" i="1" s="1"/>
  <c r="N14" i="1"/>
  <c r="P14" i="1" s="1"/>
  <c r="N5" i="1"/>
  <c r="P5" i="1" s="1"/>
  <c r="N19" i="1"/>
  <c r="P19" i="1" s="1"/>
  <c r="N18" i="1"/>
  <c r="P18" i="1" s="1"/>
  <c r="N16" i="1"/>
  <c r="P16" i="1" s="1"/>
  <c r="N15" i="1"/>
  <c r="P15" i="1" s="1"/>
  <c r="N6" i="1"/>
  <c r="P6" i="1" s="1"/>
  <c r="N17" i="1"/>
  <c r="P17" i="1" s="1"/>
  <c r="N3" i="1"/>
  <c r="P3" i="1" s="1"/>
  <c r="N4" i="1"/>
  <c r="P4" i="1" s="1"/>
  <c r="N8" i="1"/>
  <c r="P8" i="1" s="1"/>
  <c r="N2" i="1"/>
  <c r="P2" i="1" s="1"/>
  <c r="P13" i="1"/>
  <c r="P10" i="1"/>
  <c r="P11" i="1"/>
  <c r="P9" i="1"/>
  <c r="P12" i="1"/>
</calcChain>
</file>

<file path=xl/sharedStrings.xml><?xml version="1.0" encoding="utf-8"?>
<sst xmlns="http://schemas.openxmlformats.org/spreadsheetml/2006/main" count="193" uniqueCount="18">
  <si>
    <t>E_num</t>
  </si>
  <si>
    <t>E_exact</t>
  </si>
  <si>
    <t>n</t>
  </si>
  <si>
    <t>Delta E</t>
  </si>
  <si>
    <t>epsilon</t>
  </si>
  <si>
    <t>E_num_eV</t>
  </si>
  <si>
    <t>E_exact_eV</t>
  </si>
  <si>
    <t>&amp;</t>
  </si>
  <si>
    <r>
      <t>\\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\hline</t>
    </r>
  </si>
  <si>
    <t>N</t>
  </si>
  <si>
    <t>Well Half-Width</t>
  </si>
  <si>
    <t>(1/8)l</t>
  </si>
  <si>
    <t>(1/5)l</t>
  </si>
  <si>
    <t>l</t>
  </si>
  <si>
    <t>5l</t>
  </si>
  <si>
    <t>8l</t>
  </si>
  <si>
    <t>Grid Size Sensitivity</t>
  </si>
  <si>
    <t>Grid Spacing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</si>
</sst>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#0.0\E\^\{\+0\}"/>
  </numFmts>
  <fonts count="6" x14ac:knownFonts="1">
    <font>
      <sz val="11"/>
      <color theme="1"/>
      <name val="Calibri"/>
      <family val="2"/>
      <scheme val="minor"/>
    </font>
    <font>
      <sz val="8"/>
      <color rgb="FFBBBEBF"/>
      <name val="Consolas"/>
      <family val="3"/>
    </font>
    <font>
      <sz val="8"/>
      <color rgb="FFC586C0"/>
      <name val="Consolas"/>
      <family val="3"/>
    </font>
    <font>
      <sz val="8"/>
      <color rgb="FFDCDCAA"/>
      <name val="Consolas"/>
      <family val="3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165" fontId="0" fillId="0" borderId="0" xfId="0" applyNumberFormat="1"/>
    <xf numFmtId="2" fontId="0" fillId="0" borderId="0" xfId="0" applyNumberForma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B86E-7D74-4CBC-85AA-8FB6BC469DF3}">
  <dimension ref="A1:Q67"/>
  <sheetViews>
    <sheetView tabSelected="1" workbookViewId="0">
      <selection activeCell="A23" sqref="A23:F23"/>
    </sheetView>
  </sheetViews>
  <sheetFormatPr defaultRowHeight="14.4" x14ac:dyDescent="0.3"/>
  <cols>
    <col min="3" max="7" width="12" bestFit="1" customWidth="1"/>
    <col min="8" max="8" width="10.5546875" bestFit="1" customWidth="1"/>
    <col min="9" max="9" width="15.33203125" customWidth="1"/>
    <col min="10" max="10" width="12.6640625" bestFit="1" customWidth="1"/>
    <col min="14" max="14" width="19.77734375" customWidth="1"/>
    <col min="16" max="16" width="16.33203125" bestFit="1" customWidth="1"/>
  </cols>
  <sheetData>
    <row r="1" spans="1:17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H1" t="s">
        <v>2</v>
      </c>
      <c r="J1" t="s">
        <v>5</v>
      </c>
      <c r="L1" t="s">
        <v>6</v>
      </c>
      <c r="N1" t="s">
        <v>3</v>
      </c>
      <c r="P1" t="s">
        <v>4</v>
      </c>
    </row>
    <row r="2" spans="1:17" x14ac:dyDescent="0.3">
      <c r="A2">
        <v>0</v>
      </c>
      <c r="B2" s="1">
        <v>9.11501E-21</v>
      </c>
      <c r="C2" s="1">
        <v>9.1152000000000006E-21</v>
      </c>
      <c r="D2" s="1">
        <f>B2-C2</f>
        <v>-1.9000000000065149E-25</v>
      </c>
      <c r="E2" s="1">
        <f>ABS(D2/C2)</f>
        <v>2.0844304019730942E-5</v>
      </c>
      <c r="H2">
        <v>0</v>
      </c>
      <c r="I2" t="s">
        <v>7</v>
      </c>
      <c r="J2" s="2">
        <f>B2/(1.602E-19)</f>
        <v>5.6897690387016232E-2</v>
      </c>
      <c r="K2" t="s">
        <v>7</v>
      </c>
      <c r="L2" s="2">
        <f t="shared" ref="L2:L21" si="0">C2/(1.602E-19)</f>
        <v>5.6898876404494383E-2</v>
      </c>
      <c r="M2" t="s">
        <v>7</v>
      </c>
      <c r="N2" s="4">
        <f t="shared" ref="N2:N21" si="1">J2-L2</f>
        <v>-1.1860174781511135E-6</v>
      </c>
      <c r="O2" t="s">
        <v>7</v>
      </c>
      <c r="P2" s="4">
        <f t="shared" ref="P2:P21" si="2">ABS(N2/L2)</f>
        <v>2.0844304019638446E-5</v>
      </c>
      <c r="Q2" s="3" t="s">
        <v>8</v>
      </c>
    </row>
    <row r="3" spans="1:17" x14ac:dyDescent="0.3">
      <c r="A3">
        <v>1</v>
      </c>
      <c r="B3" s="1">
        <v>2.7344700000000002E-20</v>
      </c>
      <c r="C3">
        <v>2.7345599999999997E-20</v>
      </c>
      <c r="D3" s="1">
        <f>B3-C3</f>
        <v>-8.999999999951669E-25</v>
      </c>
      <c r="E3" s="1">
        <f t="shared" ref="E3:E21" si="3">ABS(D3/C3)</f>
        <v>3.2912058978232948E-5</v>
      </c>
      <c r="H3">
        <v>1</v>
      </c>
      <c r="I3" t="s">
        <v>7</v>
      </c>
      <c r="J3" s="2">
        <f>B3/(1.602E-19)</f>
        <v>0.17069101123595506</v>
      </c>
      <c r="K3" t="s">
        <v>7</v>
      </c>
      <c r="L3" s="2">
        <f t="shared" si="0"/>
        <v>0.17069662921348314</v>
      </c>
      <c r="M3" t="s">
        <v>7</v>
      </c>
      <c r="N3" s="4">
        <f t="shared" si="1"/>
        <v>-5.6179775280718047E-6</v>
      </c>
      <c r="O3" t="s">
        <v>7</v>
      </c>
      <c r="P3" s="4">
        <f t="shared" si="2"/>
        <v>3.2912058978303753E-5</v>
      </c>
      <c r="Q3" s="3" t="s">
        <v>8</v>
      </c>
    </row>
    <row r="4" spans="1:17" x14ac:dyDescent="0.3">
      <c r="A4">
        <v>2</v>
      </c>
      <c r="B4" s="1">
        <v>4.5573599999999998E-20</v>
      </c>
      <c r="C4">
        <v>4.5576000000000002E-20</v>
      </c>
      <c r="D4" s="1">
        <f>B4-C4</f>
        <v>-2.4000000000031612E-24</v>
      </c>
      <c r="E4" s="1">
        <f t="shared" si="3"/>
        <v>5.265929436552486E-5</v>
      </c>
      <c r="H4">
        <v>2</v>
      </c>
      <c r="I4" t="s">
        <v>7</v>
      </c>
      <c r="J4" s="2">
        <f>B4/(1.602E-19)</f>
        <v>0.28447940074906364</v>
      </c>
      <c r="K4" t="s">
        <v>7</v>
      </c>
      <c r="L4" s="2">
        <f t="shared" si="0"/>
        <v>0.2844943820224719</v>
      </c>
      <c r="M4" t="s">
        <v>7</v>
      </c>
      <c r="N4" s="4">
        <f t="shared" si="1"/>
        <v>-1.4981273408265494E-5</v>
      </c>
      <c r="O4" t="s">
        <v>7</v>
      </c>
      <c r="P4" s="4">
        <f t="shared" si="2"/>
        <v>5.2659294365546172E-5</v>
      </c>
      <c r="Q4" s="3" t="s">
        <v>8</v>
      </c>
    </row>
    <row r="5" spans="1:17" x14ac:dyDescent="0.3">
      <c r="A5">
        <v>3</v>
      </c>
      <c r="B5" s="1">
        <v>6.3801699999999998E-20</v>
      </c>
      <c r="C5">
        <v>6.38064E-20</v>
      </c>
      <c r="D5" s="1">
        <f>B5-C5</f>
        <v>-4.7000000000021783E-24</v>
      </c>
      <c r="E5" s="1">
        <f t="shared" si="3"/>
        <v>7.3660322475522491E-5</v>
      </c>
      <c r="H5">
        <v>3</v>
      </c>
      <c r="I5" t="s">
        <v>7</v>
      </c>
      <c r="J5" s="2">
        <f>B5/(1.602E-19)</f>
        <v>0.39826279650436952</v>
      </c>
      <c r="K5" t="s">
        <v>7</v>
      </c>
      <c r="L5" s="2">
        <f t="shared" si="0"/>
        <v>0.3982921348314607</v>
      </c>
      <c r="M5" t="s">
        <v>7</v>
      </c>
      <c r="N5" s="4">
        <f t="shared" si="1"/>
        <v>-2.9338327091177341E-5</v>
      </c>
      <c r="O5" t="s">
        <v>7</v>
      </c>
      <c r="P5" s="4">
        <f t="shared" si="2"/>
        <v>7.3660322475591948E-5</v>
      </c>
      <c r="Q5" s="3" t="s">
        <v>8</v>
      </c>
    </row>
    <row r="6" spans="1:17" x14ac:dyDescent="0.3">
      <c r="A6">
        <v>4</v>
      </c>
      <c r="B6" s="1">
        <v>8.2029199999999996E-20</v>
      </c>
      <c r="C6">
        <v>8.2036799999999986E-20</v>
      </c>
      <c r="D6" s="1">
        <f>B6-C6</f>
        <v>-7.5999999999899486E-24</v>
      </c>
      <c r="E6" s="1">
        <f t="shared" si="3"/>
        <v>9.264135119836402E-5</v>
      </c>
      <c r="H6">
        <v>4</v>
      </c>
      <c r="I6" t="s">
        <v>7</v>
      </c>
      <c r="J6" s="2">
        <f>B6/(1.602E-19)</f>
        <v>0.51204244694132328</v>
      </c>
      <c r="K6" t="s">
        <v>7</v>
      </c>
      <c r="L6" s="2">
        <f t="shared" si="0"/>
        <v>0.51208988764044938</v>
      </c>
      <c r="M6" t="s">
        <v>7</v>
      </c>
      <c r="N6" s="4">
        <f t="shared" si="1"/>
        <v>-4.744069912610005E-5</v>
      </c>
      <c r="O6" t="s">
        <v>7</v>
      </c>
      <c r="P6" s="4">
        <f t="shared" si="2"/>
        <v>9.264135119850151E-5</v>
      </c>
      <c r="Q6" s="3" t="s">
        <v>8</v>
      </c>
    </row>
    <row r="7" spans="1:17" x14ac:dyDescent="0.3">
      <c r="A7">
        <v>5</v>
      </c>
      <c r="B7">
        <v>1.0025582973039789E-19</v>
      </c>
      <c r="C7">
        <v>1.002672E-19</v>
      </c>
      <c r="D7" s="1">
        <f t="shared" ref="D7:D21" si="4">B7-C7</f>
        <v>-1.1370269602101854E-23</v>
      </c>
      <c r="E7" s="1">
        <f t="shared" si="3"/>
        <v>1.133996920438773E-4</v>
      </c>
      <c r="H7">
        <v>5</v>
      </c>
      <c r="I7" t="s">
        <v>7</v>
      </c>
      <c r="J7" s="2">
        <f t="shared" ref="J7:J21" si="5">B7/(1.602E-19)</f>
        <v>0.6258166649837571</v>
      </c>
      <c r="K7" t="s">
        <v>7</v>
      </c>
      <c r="L7" s="2">
        <f t="shared" si="0"/>
        <v>0.62588764044943823</v>
      </c>
      <c r="M7" t="s">
        <v>7</v>
      </c>
      <c r="N7" s="4">
        <f t="shared" si="1"/>
        <v>-7.0975465681133443E-5</v>
      </c>
      <c r="O7" t="s">
        <v>7</v>
      </c>
      <c r="P7" s="4">
        <f t="shared" si="2"/>
        <v>1.1339969204403411E-4</v>
      </c>
      <c r="Q7" s="3" t="s">
        <v>8</v>
      </c>
    </row>
    <row r="8" spans="1:17" x14ac:dyDescent="0.3">
      <c r="A8">
        <v>6</v>
      </c>
      <c r="B8">
        <v>1.1848175586197949E-19</v>
      </c>
      <c r="C8">
        <v>1.1849760000000001E-19</v>
      </c>
      <c r="D8" s="1">
        <f t="shared" si="4"/>
        <v>-1.5844138020517454E-23</v>
      </c>
      <c r="E8" s="1">
        <f t="shared" si="3"/>
        <v>1.3370851410085481E-4</v>
      </c>
      <c r="H8">
        <v>6</v>
      </c>
      <c r="I8" t="s">
        <v>7</v>
      </c>
      <c r="J8" s="2">
        <f t="shared" si="5"/>
        <v>0.73958649102359231</v>
      </c>
      <c r="K8" t="s">
        <v>7</v>
      </c>
      <c r="L8" s="2">
        <f t="shared" si="0"/>
        <v>0.73968539325842697</v>
      </c>
      <c r="M8" t="s">
        <v>7</v>
      </c>
      <c r="N8" s="4">
        <f t="shared" si="1"/>
        <v>-9.8902234834663538E-5</v>
      </c>
      <c r="O8" t="s">
        <v>7</v>
      </c>
      <c r="P8" s="4">
        <f t="shared" si="2"/>
        <v>1.3370851410081806E-4</v>
      </c>
      <c r="Q8" s="3" t="s">
        <v>8</v>
      </c>
    </row>
    <row r="9" spans="1:17" x14ac:dyDescent="0.3">
      <c r="A9">
        <v>7</v>
      </c>
      <c r="B9">
        <v>1.367069361899604E-19</v>
      </c>
      <c r="C9">
        <v>1.3672799999999999E-19</v>
      </c>
      <c r="D9" s="1">
        <f t="shared" si="4"/>
        <v>-2.1063810039597218E-23</v>
      </c>
      <c r="E9" s="1">
        <f t="shared" si="3"/>
        <v>1.5405630185183152E-4</v>
      </c>
      <c r="H9">
        <v>7</v>
      </c>
      <c r="I9" t="s">
        <v>7</v>
      </c>
      <c r="J9" s="2">
        <f t="shared" si="5"/>
        <v>0.85335166161023968</v>
      </c>
      <c r="K9" t="s">
        <v>7</v>
      </c>
      <c r="L9" s="2">
        <f t="shared" si="0"/>
        <v>0.85348314606741571</v>
      </c>
      <c r="M9" t="s">
        <v>7</v>
      </c>
      <c r="N9" s="4">
        <f t="shared" si="1"/>
        <v>-1.314844571760343E-4</v>
      </c>
      <c r="O9" t="s">
        <v>7</v>
      </c>
      <c r="P9" s="4">
        <f t="shared" si="2"/>
        <v>1.5405630185185692E-4</v>
      </c>
      <c r="Q9" s="3" t="s">
        <v>8</v>
      </c>
    </row>
    <row r="10" spans="1:17" x14ac:dyDescent="0.3">
      <c r="A10">
        <v>8</v>
      </c>
      <c r="B10">
        <v>1.5493137066845469E-19</v>
      </c>
      <c r="C10">
        <v>1.549584E-19</v>
      </c>
      <c r="D10" s="1">
        <f t="shared" si="4"/>
        <v>-2.7029331545308184E-23</v>
      </c>
      <c r="E10" s="1">
        <f t="shared" si="3"/>
        <v>1.7442959881689655E-4</v>
      </c>
      <c r="H10">
        <v>8</v>
      </c>
      <c r="I10" t="s">
        <v>7</v>
      </c>
      <c r="J10" s="2">
        <f t="shared" si="5"/>
        <v>0.96711217645727032</v>
      </c>
      <c r="K10" t="s">
        <v>7</v>
      </c>
      <c r="L10" s="2">
        <f t="shared" si="0"/>
        <v>0.96728089887640456</v>
      </c>
      <c r="M10" t="s">
        <v>7</v>
      </c>
      <c r="N10" s="4">
        <f t="shared" si="1"/>
        <v>-1.6872241913423736E-4</v>
      </c>
      <c r="O10" t="s">
        <v>7</v>
      </c>
      <c r="P10" s="4">
        <f t="shared" si="2"/>
        <v>1.7442959881687486E-4</v>
      </c>
      <c r="Q10" s="3" t="s">
        <v>8</v>
      </c>
    </row>
    <row r="11" spans="1:17" x14ac:dyDescent="0.3">
      <c r="A11">
        <v>9</v>
      </c>
      <c r="B11">
        <v>1.7315505925169071E-19</v>
      </c>
      <c r="C11">
        <v>1.7318879999999999E-19</v>
      </c>
      <c r="D11" s="1">
        <f t="shared" si="4"/>
        <v>-3.3740748309277334E-23</v>
      </c>
      <c r="E11" s="1">
        <f t="shared" si="3"/>
        <v>1.9482061374221277E-4</v>
      </c>
      <c r="H11">
        <v>9</v>
      </c>
      <c r="I11" t="s">
        <v>7</v>
      </c>
      <c r="J11" s="2">
        <f t="shared" si="5"/>
        <v>1.0808680352789684</v>
      </c>
      <c r="K11" t="s">
        <v>7</v>
      </c>
      <c r="L11" s="2">
        <f t="shared" si="0"/>
        <v>1.0810786516853932</v>
      </c>
      <c r="M11" t="s">
        <v>7</v>
      </c>
      <c r="N11" s="4">
        <f t="shared" si="1"/>
        <v>-2.1061640642483503E-4</v>
      </c>
      <c r="O11" t="s">
        <v>7</v>
      </c>
      <c r="P11" s="4">
        <f t="shared" si="2"/>
        <v>1.9482061374210443E-4</v>
      </c>
      <c r="Q11" s="3" t="s">
        <v>8</v>
      </c>
    </row>
    <row r="12" spans="1:17" x14ac:dyDescent="0.3">
      <c r="A12">
        <v>10</v>
      </c>
      <c r="B12">
        <v>1.913780018939085E-19</v>
      </c>
      <c r="C12">
        <v>1.914192E-19</v>
      </c>
      <c r="D12" s="1">
        <f t="shared" si="4"/>
        <v>-4.1198106091503853E-23</v>
      </c>
      <c r="E12" s="1">
        <f t="shared" si="3"/>
        <v>2.1522452340989751E-4</v>
      </c>
      <c r="H12">
        <v>10</v>
      </c>
      <c r="I12" t="s">
        <v>7</v>
      </c>
      <c r="J12" s="2">
        <f t="shared" si="5"/>
        <v>1.1946192377896909</v>
      </c>
      <c r="K12" t="s">
        <v>7</v>
      </c>
      <c r="L12" s="2">
        <f t="shared" si="0"/>
        <v>1.194876404494382</v>
      </c>
      <c r="M12" t="s">
        <v>7</v>
      </c>
      <c r="N12" s="4">
        <f t="shared" si="1"/>
        <v>-2.5716670469111413E-4</v>
      </c>
      <c r="O12" t="s">
        <v>7</v>
      </c>
      <c r="P12" s="4">
        <f t="shared" si="2"/>
        <v>2.1522452340996348E-4</v>
      </c>
      <c r="Q12" s="3" t="s">
        <v>8</v>
      </c>
    </row>
    <row r="13" spans="1:17" x14ac:dyDescent="0.3">
      <c r="A13">
        <v>11</v>
      </c>
      <c r="B13">
        <v>2.0960019854922279E-19</v>
      </c>
      <c r="C13">
        <v>2.0964960000000001E-19</v>
      </c>
      <c r="D13" s="1">
        <f t="shared" si="4"/>
        <v>-4.9401450777220515E-23</v>
      </c>
      <c r="E13" s="1">
        <f t="shared" si="3"/>
        <v>2.3563818284041808E-4</v>
      </c>
      <c r="H13">
        <v>11</v>
      </c>
      <c r="I13" t="s">
        <v>7</v>
      </c>
      <c r="J13" s="2">
        <f t="shared" si="5"/>
        <v>1.3083657837030136</v>
      </c>
      <c r="K13" t="s">
        <v>7</v>
      </c>
      <c r="L13" s="2">
        <f t="shared" si="0"/>
        <v>1.3086741573033709</v>
      </c>
      <c r="M13" t="s">
        <v>7</v>
      </c>
      <c r="N13" s="4">
        <f t="shared" si="1"/>
        <v>-3.0837360035729233E-4</v>
      </c>
      <c r="O13" t="s">
        <v>7</v>
      </c>
      <c r="P13" s="4">
        <f t="shared" si="2"/>
        <v>2.3563818284050257E-4</v>
      </c>
      <c r="Q13" s="3" t="s">
        <v>8</v>
      </c>
    </row>
    <row r="14" spans="1:17" x14ac:dyDescent="0.3">
      <c r="A14">
        <v>12</v>
      </c>
      <c r="B14">
        <v>2.27821649171761E-19</v>
      </c>
      <c r="C14">
        <v>2.2788E-19</v>
      </c>
      <c r="D14" s="1">
        <f t="shared" si="4"/>
        <v>-5.835082823899711E-23</v>
      </c>
      <c r="E14" s="1">
        <f t="shared" si="3"/>
        <v>2.5605945339212354E-4</v>
      </c>
      <c r="H14">
        <v>12</v>
      </c>
      <c r="I14" t="s">
        <v>7</v>
      </c>
      <c r="J14" s="2">
        <f t="shared" si="5"/>
        <v>1.4221076727325905</v>
      </c>
      <c r="K14" t="s">
        <v>7</v>
      </c>
      <c r="L14" s="2">
        <f t="shared" si="0"/>
        <v>1.4224719101123595</v>
      </c>
      <c r="M14" t="s">
        <v>7</v>
      </c>
      <c r="N14" s="4">
        <f t="shared" si="1"/>
        <v>-3.6423737976898352E-4</v>
      </c>
      <c r="O14" t="s">
        <v>7</v>
      </c>
      <c r="P14" s="4">
        <f t="shared" si="2"/>
        <v>2.5605945339209741E-4</v>
      </c>
      <c r="Q14" s="3" t="s">
        <v>8</v>
      </c>
    </row>
    <row r="15" spans="1:17" x14ac:dyDescent="0.3">
      <c r="A15">
        <v>13</v>
      </c>
      <c r="B15">
        <v>2.4604235371574059E-19</v>
      </c>
      <c r="C15">
        <v>2.4611039999999998E-19</v>
      </c>
      <c r="D15" s="1">
        <f t="shared" si="4"/>
        <v>-6.8046284259390272E-23</v>
      </c>
      <c r="E15" s="1">
        <f t="shared" si="3"/>
        <v>2.7648682972922022E-4</v>
      </c>
      <c r="H15">
        <v>13</v>
      </c>
      <c r="I15" t="s">
        <v>7</v>
      </c>
      <c r="J15" s="2">
        <f t="shared" si="5"/>
        <v>1.5358449045926379</v>
      </c>
      <c r="K15" t="s">
        <v>7</v>
      </c>
      <c r="L15" s="2">
        <f t="shared" si="0"/>
        <v>1.5362696629213481</v>
      </c>
      <c r="M15" t="s">
        <v>7</v>
      </c>
      <c r="N15" s="4">
        <f t="shared" si="1"/>
        <v>-4.2475832871025077E-4</v>
      </c>
      <c r="O15" t="s">
        <v>7</v>
      </c>
      <c r="P15" s="4">
        <f t="shared" si="2"/>
        <v>2.7648682972918732E-4</v>
      </c>
      <c r="Q15" s="3" t="s">
        <v>8</v>
      </c>
    </row>
    <row r="16" spans="1:17" x14ac:dyDescent="0.3">
      <c r="A16">
        <v>14</v>
      </c>
      <c r="B16">
        <v>2.6426231213534632E-19</v>
      </c>
      <c r="C16">
        <v>2.6434080000000002E-19</v>
      </c>
      <c r="D16" s="1">
        <f t="shared" si="4"/>
        <v>-7.8487864653697449E-23</v>
      </c>
      <c r="E16" s="1">
        <f t="shared" si="3"/>
        <v>2.9691922190481926E-4</v>
      </c>
      <c r="H16">
        <v>14</v>
      </c>
      <c r="I16" t="s">
        <v>7</v>
      </c>
      <c r="J16" s="2">
        <f t="shared" si="5"/>
        <v>1.649577478997168</v>
      </c>
      <c r="K16" t="s">
        <v>7</v>
      </c>
      <c r="L16" s="2">
        <f t="shared" si="0"/>
        <v>1.6500674157303372</v>
      </c>
      <c r="M16" t="s">
        <v>7</v>
      </c>
      <c r="N16" s="4">
        <f t="shared" si="1"/>
        <v>-4.8993673316921615E-4</v>
      </c>
      <c r="O16" t="s">
        <v>7</v>
      </c>
      <c r="P16" s="4">
        <f t="shared" si="2"/>
        <v>2.9691922190486079E-4</v>
      </c>
      <c r="Q16" s="3" t="s">
        <v>8</v>
      </c>
    </row>
    <row r="17" spans="1:17" x14ac:dyDescent="0.3">
      <c r="A17">
        <v>15</v>
      </c>
      <c r="B17">
        <v>2.8248152438461061E-19</v>
      </c>
      <c r="C17">
        <v>2.825712E-19</v>
      </c>
      <c r="D17" s="1">
        <f t="shared" si="4"/>
        <v>-8.9675615389388625E-23</v>
      </c>
      <c r="E17" s="1">
        <f t="shared" si="3"/>
        <v>3.1735582178717657E-4</v>
      </c>
      <c r="H17">
        <v>15</v>
      </c>
      <c r="I17" t="s">
        <v>7</v>
      </c>
      <c r="J17" s="2">
        <f t="shared" si="5"/>
        <v>1.7633053956592424</v>
      </c>
      <c r="K17" t="s">
        <v>7</v>
      </c>
      <c r="L17" s="2">
        <f t="shared" si="0"/>
        <v>1.7638651685393258</v>
      </c>
      <c r="M17" t="s">
        <v>7</v>
      </c>
      <c r="N17" s="4">
        <f t="shared" si="1"/>
        <v>-5.5977288008346449E-4</v>
      </c>
      <c r="O17" t="s">
        <v>7</v>
      </c>
      <c r="P17" s="4">
        <f t="shared" si="2"/>
        <v>3.1735582178711423E-4</v>
      </c>
      <c r="Q17" s="3" t="s">
        <v>8</v>
      </c>
    </row>
    <row r="18" spans="1:17" x14ac:dyDescent="0.3">
      <c r="A18">
        <v>16</v>
      </c>
      <c r="B18">
        <v>3.0069999041777319E-19</v>
      </c>
      <c r="C18">
        <v>3.0080159999999999E-19</v>
      </c>
      <c r="D18" s="1">
        <f t="shared" si="4"/>
        <v>-1.0160958222680002E-22</v>
      </c>
      <c r="E18" s="1">
        <f t="shared" si="3"/>
        <v>3.3779601646666784E-4</v>
      </c>
      <c r="H18">
        <v>16</v>
      </c>
      <c r="I18" t="s">
        <v>7</v>
      </c>
      <c r="J18" s="2">
        <f t="shared" si="5"/>
        <v>1.877028654293216</v>
      </c>
      <c r="K18" t="s">
        <v>7</v>
      </c>
      <c r="L18" s="2">
        <f t="shared" si="0"/>
        <v>1.8776629213483145</v>
      </c>
      <c r="M18" t="s">
        <v>7</v>
      </c>
      <c r="N18" s="4">
        <f t="shared" si="1"/>
        <v>-6.3426705509850301E-4</v>
      </c>
      <c r="O18" t="s">
        <v>7</v>
      </c>
      <c r="P18" s="4">
        <f t="shared" si="2"/>
        <v>3.3779601646660186E-4</v>
      </c>
      <c r="Q18" s="3" t="s">
        <v>8</v>
      </c>
    </row>
    <row r="19" spans="1:17" x14ac:dyDescent="0.3">
      <c r="A19">
        <v>17</v>
      </c>
      <c r="B19">
        <v>3.18917710188884E-19</v>
      </c>
      <c r="C19">
        <v>3.1903200000000002E-19</v>
      </c>
      <c r="D19" s="1">
        <f t="shared" si="4"/>
        <v>-1.142898111160201E-22</v>
      </c>
      <c r="E19" s="1">
        <f t="shared" si="3"/>
        <v>3.5823933372207205E-4</v>
      </c>
      <c r="H19">
        <v>17</v>
      </c>
      <c r="I19" t="s">
        <v>7</v>
      </c>
      <c r="J19" s="2">
        <f t="shared" si="5"/>
        <v>1.9907472546122598</v>
      </c>
      <c r="K19" t="s">
        <v>7</v>
      </c>
      <c r="L19" s="2">
        <f t="shared" si="0"/>
        <v>1.9914606741573035</v>
      </c>
      <c r="M19" t="s">
        <v>7</v>
      </c>
      <c r="N19" s="4">
        <f t="shared" si="1"/>
        <v>-7.134195450437808E-4</v>
      </c>
      <c r="O19" t="s">
        <v>7</v>
      </c>
      <c r="P19" s="4">
        <f t="shared" si="2"/>
        <v>3.5823933372205194E-4</v>
      </c>
      <c r="Q19" s="3" t="s">
        <v>8</v>
      </c>
    </row>
    <row r="20" spans="1:17" x14ac:dyDescent="0.3">
      <c r="A20">
        <v>18</v>
      </c>
      <c r="B20">
        <v>3.3713468365216028E-19</v>
      </c>
      <c r="C20">
        <v>3.3726240000000001E-19</v>
      </c>
      <c r="D20" s="1">
        <f t="shared" si="4"/>
        <v>-1.2771634783972588E-22</v>
      </c>
      <c r="E20" s="1">
        <f t="shared" si="3"/>
        <v>3.7868540293767072E-4</v>
      </c>
      <c r="H20">
        <v>18</v>
      </c>
      <c r="I20" t="s">
        <v>7</v>
      </c>
      <c r="J20" s="2">
        <f t="shared" si="5"/>
        <v>2.1044611963305884</v>
      </c>
      <c r="K20" t="s">
        <v>7</v>
      </c>
      <c r="L20" s="2">
        <f t="shared" si="0"/>
        <v>2.1052584269662922</v>
      </c>
      <c r="M20" t="s">
        <v>7</v>
      </c>
      <c r="N20" s="4">
        <f t="shared" si="1"/>
        <v>-7.9723063570380504E-4</v>
      </c>
      <c r="O20" t="s">
        <v>7</v>
      </c>
      <c r="P20" s="4">
        <f t="shared" si="2"/>
        <v>3.7868540293774098E-4</v>
      </c>
      <c r="Q20" s="3" t="s">
        <v>8</v>
      </c>
    </row>
    <row r="21" spans="1:17" x14ac:dyDescent="0.3">
      <c r="A21">
        <v>19</v>
      </c>
      <c r="B21">
        <v>3.553509107619117E-19</v>
      </c>
      <c r="C21">
        <v>3.554927999999999E-19</v>
      </c>
      <c r="D21" s="1">
        <f t="shared" si="4"/>
        <v>-1.4188923808819787E-22</v>
      </c>
      <c r="E21" s="1">
        <f t="shared" si="3"/>
        <v>3.9913392926157126E-4</v>
      </c>
      <c r="H21">
        <v>19</v>
      </c>
      <c r="I21" t="s">
        <v>7</v>
      </c>
      <c r="J21" s="2">
        <f t="shared" si="5"/>
        <v>2.2181704791629944</v>
      </c>
      <c r="K21" t="s">
        <v>7</v>
      </c>
      <c r="L21" s="2">
        <f t="shared" si="0"/>
        <v>2.2190561797752801</v>
      </c>
      <c r="M21" t="s">
        <v>7</v>
      </c>
      <c r="N21" s="4">
        <f t="shared" si="1"/>
        <v>-8.8570061228576691E-4</v>
      </c>
      <c r="O21" t="s">
        <v>7</v>
      </c>
      <c r="P21" s="4">
        <f t="shared" si="2"/>
        <v>3.9913392926152063E-4</v>
      </c>
      <c r="Q21" s="3" t="s">
        <v>8</v>
      </c>
    </row>
    <row r="23" spans="1:17" x14ac:dyDescent="0.3">
      <c r="A23" s="6" t="s">
        <v>17</v>
      </c>
      <c r="B23" s="6"/>
      <c r="C23" s="6"/>
      <c r="D23" s="6"/>
      <c r="E23" s="6"/>
      <c r="F23" s="6"/>
    </row>
    <row r="24" spans="1:17" x14ac:dyDescent="0.3">
      <c r="A24" t="s">
        <v>9</v>
      </c>
      <c r="B24">
        <v>30</v>
      </c>
      <c r="C24">
        <v>50</v>
      </c>
      <c r="D24">
        <v>100</v>
      </c>
      <c r="E24">
        <v>500</v>
      </c>
      <c r="F24">
        <v>1000</v>
      </c>
    </row>
    <row r="25" spans="1:17" x14ac:dyDescent="0.3">
      <c r="A25">
        <v>0</v>
      </c>
      <c r="B25">
        <v>2.4900785921439388E-2</v>
      </c>
      <c r="C25">
        <v>8.5730689106838631E-3</v>
      </c>
      <c r="D25">
        <v>2.0863858146413883E-3</v>
      </c>
      <c r="E25">
        <v>8.1957850059829237E-5</v>
      </c>
      <c r="F25">
        <v>2.0844304019638446E-5</v>
      </c>
    </row>
    <row r="26" spans="1:17" x14ac:dyDescent="0.3">
      <c r="A26">
        <v>1</v>
      </c>
      <c r="B26">
        <v>4.2467504397979527E-2</v>
      </c>
      <c r="C26">
        <v>1.4391370891153513E-2</v>
      </c>
      <c r="D26">
        <v>3.4831813100929406E-3</v>
      </c>
      <c r="E26">
        <v>1.3660537730376737E-4</v>
      </c>
      <c r="F26">
        <v>3.2912058978303753E-5</v>
      </c>
    </row>
    <row r="27" spans="1:17" x14ac:dyDescent="0.3">
      <c r="A27">
        <v>2</v>
      </c>
      <c r="B27">
        <v>6.8154369402594867E-2</v>
      </c>
      <c r="C27">
        <v>2.2636232336991358E-2</v>
      </c>
      <c r="D27">
        <v>5.444064156816926E-3</v>
      </c>
      <c r="E27">
        <v>2.131199836640042E-4</v>
      </c>
      <c r="F27">
        <v>5.2659294365546172E-5</v>
      </c>
    </row>
    <row r="28" spans="1:17" x14ac:dyDescent="0.3">
      <c r="A28">
        <v>3</v>
      </c>
      <c r="B28">
        <v>9.7051153749422359E-2</v>
      </c>
      <c r="C28">
        <v>3.1376648321151786E-2</v>
      </c>
      <c r="D28">
        <v>7.4932840977856218E-3</v>
      </c>
      <c r="E28">
        <v>2.9276999126656396E-4</v>
      </c>
      <c r="F28">
        <v>7.3660322475591948E-5</v>
      </c>
    </row>
    <row r="29" spans="1:17" x14ac:dyDescent="0.3">
      <c r="A29">
        <v>4</v>
      </c>
      <c r="B29">
        <v>0.12820844729122299</v>
      </c>
      <c r="C29">
        <v>4.0410144820520945E-2</v>
      </c>
      <c r="D29">
        <v>9.5781113903849642E-3</v>
      </c>
      <c r="E29">
        <v>3.7347410862713544E-4</v>
      </c>
      <c r="F29">
        <v>9.264135119850151E-5</v>
      </c>
    </row>
    <row r="31" spans="1:17" x14ac:dyDescent="0.3">
      <c r="A31" t="s">
        <v>9</v>
      </c>
      <c r="B31">
        <v>0</v>
      </c>
      <c r="C31">
        <v>1</v>
      </c>
      <c r="D31">
        <v>2</v>
      </c>
      <c r="E31">
        <v>3</v>
      </c>
      <c r="F31">
        <v>4</v>
      </c>
    </row>
    <row r="32" spans="1:17" x14ac:dyDescent="0.3">
      <c r="A32">
        <v>30</v>
      </c>
      <c r="B32">
        <v>2.4900785921439388E-2</v>
      </c>
      <c r="C32">
        <v>4.2467504397979527E-2</v>
      </c>
      <c r="D32">
        <v>6.8154369402594867E-2</v>
      </c>
      <c r="E32">
        <v>9.7051153749422359E-2</v>
      </c>
      <c r="F32">
        <v>0.12820844729122299</v>
      </c>
    </row>
    <row r="33" spans="1:13" x14ac:dyDescent="0.3">
      <c r="A33">
        <v>50</v>
      </c>
      <c r="B33">
        <v>8.5730689106838631E-3</v>
      </c>
      <c r="C33">
        <v>1.4391370891153513E-2</v>
      </c>
      <c r="D33">
        <v>2.2636232336991358E-2</v>
      </c>
      <c r="E33">
        <v>3.1376648321151786E-2</v>
      </c>
      <c r="F33">
        <v>4.0410144820520945E-2</v>
      </c>
    </row>
    <row r="34" spans="1:13" x14ac:dyDescent="0.3">
      <c r="A34">
        <v>100</v>
      </c>
      <c r="B34">
        <v>2.0863858146413883E-3</v>
      </c>
      <c r="C34">
        <v>3.4831813100929406E-3</v>
      </c>
      <c r="D34">
        <v>5.444064156816926E-3</v>
      </c>
      <c r="E34">
        <v>7.4932840977856218E-3</v>
      </c>
      <c r="F34">
        <v>9.5781113903849642E-3</v>
      </c>
    </row>
    <row r="35" spans="1:13" x14ac:dyDescent="0.3">
      <c r="A35">
        <v>500</v>
      </c>
      <c r="B35">
        <v>8.1957850059829237E-5</v>
      </c>
      <c r="C35">
        <v>1.3660537730376737E-4</v>
      </c>
      <c r="D35">
        <v>2.131199836640042E-4</v>
      </c>
      <c r="E35">
        <v>2.9276999126656396E-4</v>
      </c>
      <c r="F35">
        <v>3.7347410862713544E-4</v>
      </c>
    </row>
    <row r="36" spans="1:13" x14ac:dyDescent="0.3">
      <c r="A36">
        <v>1000</v>
      </c>
      <c r="B36">
        <v>2.0844304019638446E-5</v>
      </c>
      <c r="C36">
        <v>3.2912058978303753E-5</v>
      </c>
      <c r="D36">
        <v>5.2659294365546172E-5</v>
      </c>
      <c r="E36">
        <v>7.3660322475591948E-5</v>
      </c>
      <c r="F36">
        <v>9.264135119850151E-5</v>
      </c>
    </row>
    <row r="38" spans="1:13" x14ac:dyDescent="0.3">
      <c r="C38" t="s">
        <v>9</v>
      </c>
      <c r="D38" t="s">
        <v>7</v>
      </c>
      <c r="E38">
        <v>0</v>
      </c>
      <c r="F38" t="s">
        <v>7</v>
      </c>
      <c r="G38">
        <v>1</v>
      </c>
      <c r="H38" t="s">
        <v>7</v>
      </c>
      <c r="I38">
        <v>2</v>
      </c>
      <c r="J38" t="s">
        <v>7</v>
      </c>
      <c r="K38">
        <v>3</v>
      </c>
      <c r="L38" t="s">
        <v>7</v>
      </c>
      <c r="M38">
        <v>4</v>
      </c>
    </row>
    <row r="39" spans="1:13" x14ac:dyDescent="0.3">
      <c r="C39">
        <v>30</v>
      </c>
      <c r="D39" t="s">
        <v>7</v>
      </c>
      <c r="E39" s="5">
        <f>B32*(1000)</f>
        <v>24.90078592143939</v>
      </c>
      <c r="F39" t="s">
        <v>7</v>
      </c>
      <c r="G39" s="5">
        <f>C32*(1000)</f>
        <v>42.467504397979525</v>
      </c>
      <c r="H39" t="s">
        <v>7</v>
      </c>
      <c r="I39" s="5">
        <f>D32*(1000)</f>
        <v>68.154369402594867</v>
      </c>
      <c r="J39" t="s">
        <v>7</v>
      </c>
      <c r="K39" s="5">
        <f>E32*(1000)</f>
        <v>97.051153749422355</v>
      </c>
      <c r="L39" t="s">
        <v>7</v>
      </c>
      <c r="M39" s="5">
        <f>F32*(1000)</f>
        <v>128.208447291223</v>
      </c>
    </row>
    <row r="40" spans="1:13" x14ac:dyDescent="0.3">
      <c r="C40">
        <v>50</v>
      </c>
      <c r="D40" t="s">
        <v>7</v>
      </c>
      <c r="E40" s="5">
        <f>B33*(1000)</f>
        <v>8.5730689106838636</v>
      </c>
      <c r="F40" t="s">
        <v>7</v>
      </c>
      <c r="G40" s="5">
        <f>C33*(1000)</f>
        <v>14.391370891153512</v>
      </c>
      <c r="H40" t="s">
        <v>7</v>
      </c>
      <c r="I40" s="5">
        <f>D33*(1000)</f>
        <v>22.636232336991359</v>
      </c>
      <c r="J40" t="s">
        <v>7</v>
      </c>
      <c r="K40" s="5">
        <f>E33*(1000)</f>
        <v>31.376648321151787</v>
      </c>
      <c r="L40" t="s">
        <v>7</v>
      </c>
      <c r="M40" s="5">
        <f>F33*(1000)</f>
        <v>40.410144820520948</v>
      </c>
    </row>
    <row r="41" spans="1:13" x14ac:dyDescent="0.3">
      <c r="C41">
        <v>100</v>
      </c>
      <c r="D41" t="s">
        <v>7</v>
      </c>
      <c r="E41" s="5">
        <f>B34*(1000)</f>
        <v>2.0863858146413881</v>
      </c>
      <c r="F41" t="s">
        <v>7</v>
      </c>
      <c r="G41" s="5">
        <f>C34*(1000)</f>
        <v>3.4831813100929407</v>
      </c>
      <c r="H41" t="s">
        <v>7</v>
      </c>
      <c r="I41" s="5">
        <f>D34*(1000)</f>
        <v>5.4440641568169257</v>
      </c>
      <c r="J41" t="s">
        <v>7</v>
      </c>
      <c r="K41" s="5">
        <f>E34*(1000)</f>
        <v>7.4932840977856214</v>
      </c>
      <c r="L41" t="s">
        <v>7</v>
      </c>
      <c r="M41" s="5">
        <f>F34*(1000)</f>
        <v>9.5781113903849651</v>
      </c>
    </row>
    <row r="42" spans="1:13" x14ac:dyDescent="0.3">
      <c r="C42">
        <v>500</v>
      </c>
      <c r="D42" t="s">
        <v>7</v>
      </c>
      <c r="E42" s="5">
        <f>B35*(1000)</f>
        <v>8.1957850059829238E-2</v>
      </c>
      <c r="F42" t="s">
        <v>7</v>
      </c>
      <c r="G42" s="5">
        <f>C35*(1000)</f>
        <v>0.13660537730376737</v>
      </c>
      <c r="H42" t="s">
        <v>7</v>
      </c>
      <c r="I42" s="5">
        <f>D35*(1000)</f>
        <v>0.2131199836640042</v>
      </c>
      <c r="J42" t="s">
        <v>7</v>
      </c>
      <c r="K42" s="5">
        <f>E35*(1000)</f>
        <v>0.29276999126656394</v>
      </c>
      <c r="L42" t="s">
        <v>7</v>
      </c>
      <c r="M42" s="5">
        <f>F35*(1000)</f>
        <v>0.37347410862713543</v>
      </c>
    </row>
    <row r="43" spans="1:13" x14ac:dyDescent="0.3">
      <c r="C43">
        <v>1000</v>
      </c>
      <c r="D43" t="s">
        <v>7</v>
      </c>
      <c r="E43" s="5">
        <f>B36*(1000)</f>
        <v>2.0844304019638445E-2</v>
      </c>
      <c r="F43" t="s">
        <v>7</v>
      </c>
      <c r="G43" s="5">
        <f>C36*(1000)</f>
        <v>3.2912058978303751E-2</v>
      </c>
      <c r="H43" t="s">
        <v>7</v>
      </c>
      <c r="I43" s="5">
        <f>D36*(1000)</f>
        <v>5.2659294365546172E-2</v>
      </c>
      <c r="J43" t="s">
        <v>7</v>
      </c>
      <c r="K43" s="5">
        <f>E36*(1000)</f>
        <v>7.3660322475591941E-2</v>
      </c>
      <c r="L43" t="s">
        <v>7</v>
      </c>
      <c r="M43" s="5">
        <f>F36*(1000)</f>
        <v>9.2641351198501504E-2</v>
      </c>
    </row>
    <row r="47" spans="1:13" x14ac:dyDescent="0.3">
      <c r="A47" s="6" t="s">
        <v>16</v>
      </c>
      <c r="B47" s="6"/>
      <c r="C47" s="6"/>
      <c r="D47" s="6"/>
      <c r="E47" s="6"/>
      <c r="F47" s="6"/>
    </row>
    <row r="48" spans="1:13" x14ac:dyDescent="0.3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</row>
    <row r="49" spans="1:13" x14ac:dyDescent="0.3">
      <c r="A49">
        <v>0</v>
      </c>
      <c r="B49">
        <v>1.0989168102871929</v>
      </c>
      <c r="C49">
        <v>0.14538353519396172</v>
      </c>
      <c r="D49">
        <v>2.0844304019638446E-5</v>
      </c>
      <c r="E49">
        <v>5.1143137260129532E-4</v>
      </c>
      <c r="F49">
        <v>1.3098999473406682E-3</v>
      </c>
    </row>
    <row r="50" spans="1:13" x14ac:dyDescent="0.3">
      <c r="A50">
        <v>1</v>
      </c>
      <c r="B50">
        <v>1.6989346084079542</v>
      </c>
      <c r="C50">
        <v>0.30267026505178163</v>
      </c>
      <c r="D50">
        <v>3.2912058978303753E-5</v>
      </c>
      <c r="E50">
        <v>8.5273535505145891E-4</v>
      </c>
      <c r="F50">
        <v>2.1868234743431386E-3</v>
      </c>
    </row>
    <row r="51" spans="1:13" x14ac:dyDescent="0.3">
      <c r="A51">
        <v>2</v>
      </c>
      <c r="B51">
        <v>2.5617258973566308</v>
      </c>
      <c r="C51">
        <v>0.56410610847814657</v>
      </c>
      <c r="D51">
        <v>5.2659294365546172E-5</v>
      </c>
      <c r="E51">
        <v>1.3308769054511654E-3</v>
      </c>
      <c r="F51">
        <v>3.4140775846935928E-3</v>
      </c>
    </row>
    <row r="52" spans="1:13" x14ac:dyDescent="0.3">
      <c r="A52">
        <v>3</v>
      </c>
      <c r="B52">
        <v>3.4805267620406255</v>
      </c>
      <c r="C52">
        <v>0.87830687830687826</v>
      </c>
      <c r="D52">
        <v>7.3660322475591948E-5</v>
      </c>
      <c r="E52">
        <v>1.829019236906122E-3</v>
      </c>
      <c r="F52">
        <v>4.6954537475866354E-3</v>
      </c>
    </row>
    <row r="53" spans="1:13" x14ac:dyDescent="0.3">
      <c r="A53">
        <v>4</v>
      </c>
      <c r="B53">
        <v>4.420078571933618</v>
      </c>
      <c r="C53">
        <v>1.218138688978605</v>
      </c>
      <c r="D53">
        <v>9.264135119850151E-5</v>
      </c>
      <c r="E53">
        <v>2.3341823034261169E-3</v>
      </c>
      <c r="F53">
        <v>5.9973085249545744E-3</v>
      </c>
    </row>
    <row r="55" spans="1:13" x14ac:dyDescent="0.3">
      <c r="A55" t="s">
        <v>10</v>
      </c>
      <c r="B55">
        <v>0</v>
      </c>
      <c r="C55">
        <v>1</v>
      </c>
      <c r="D55">
        <v>2</v>
      </c>
      <c r="E55">
        <v>3</v>
      </c>
      <c r="F55">
        <v>4</v>
      </c>
    </row>
    <row r="56" spans="1:13" x14ac:dyDescent="0.3">
      <c r="A56" t="s">
        <v>11</v>
      </c>
      <c r="B56">
        <v>1.0989168102871929</v>
      </c>
      <c r="C56">
        <v>1.6989346084079542</v>
      </c>
      <c r="D56">
        <v>2.5617258973566308</v>
      </c>
      <c r="E56">
        <v>3.4805267620406255</v>
      </c>
      <c r="F56">
        <v>4.420078571933618</v>
      </c>
    </row>
    <row r="57" spans="1:13" x14ac:dyDescent="0.3">
      <c r="A57" t="s">
        <v>12</v>
      </c>
      <c r="B57">
        <v>0.14538353519396172</v>
      </c>
      <c r="C57">
        <v>0.30267026505178163</v>
      </c>
      <c r="D57">
        <v>0.56410610847814657</v>
      </c>
      <c r="E57">
        <v>0.87830687830687826</v>
      </c>
      <c r="F57">
        <v>1.218138688978605</v>
      </c>
    </row>
    <row r="58" spans="1:13" x14ac:dyDescent="0.3">
      <c r="A58" t="s">
        <v>13</v>
      </c>
      <c r="B58">
        <v>2.0844304019638446E-5</v>
      </c>
      <c r="C58">
        <v>3.2912058978303753E-5</v>
      </c>
      <c r="D58">
        <v>5.2659294365546172E-5</v>
      </c>
      <c r="E58">
        <v>7.3660322475591948E-5</v>
      </c>
      <c r="F58">
        <v>9.264135119850151E-5</v>
      </c>
    </row>
    <row r="59" spans="1:13" x14ac:dyDescent="0.3">
      <c r="A59" t="s">
        <v>14</v>
      </c>
      <c r="B59">
        <v>5.1143137260129532E-4</v>
      </c>
      <c r="C59">
        <v>8.5273535505145891E-4</v>
      </c>
      <c r="D59">
        <v>1.3308769054511654E-3</v>
      </c>
      <c r="E59">
        <v>1.829019236906122E-3</v>
      </c>
      <c r="F59">
        <v>2.3341823034261169E-3</v>
      </c>
    </row>
    <row r="60" spans="1:13" x14ac:dyDescent="0.3">
      <c r="A60" t="s">
        <v>15</v>
      </c>
      <c r="B60">
        <v>1.3098999473406682E-3</v>
      </c>
      <c r="C60">
        <v>2.1868234743431386E-3</v>
      </c>
      <c r="D60">
        <v>3.4140775846935928E-3</v>
      </c>
      <c r="E60">
        <v>4.6954537475866354E-3</v>
      </c>
      <c r="F60">
        <v>5.9973085249545744E-3</v>
      </c>
    </row>
    <row r="62" spans="1:13" x14ac:dyDescent="0.3">
      <c r="C62" t="s">
        <v>10</v>
      </c>
      <c r="D62" t="s">
        <v>7</v>
      </c>
      <c r="E62">
        <v>0</v>
      </c>
      <c r="F62" t="s">
        <v>7</v>
      </c>
      <c r="G62">
        <v>1</v>
      </c>
      <c r="H62" t="s">
        <v>7</v>
      </c>
      <c r="I62">
        <v>2</v>
      </c>
      <c r="J62" t="s">
        <v>7</v>
      </c>
      <c r="K62">
        <v>3</v>
      </c>
      <c r="L62" t="s">
        <v>7</v>
      </c>
      <c r="M62">
        <v>4</v>
      </c>
    </row>
    <row r="63" spans="1:13" x14ac:dyDescent="0.3">
      <c r="C63" t="s">
        <v>11</v>
      </c>
      <c r="D63" t="s">
        <v>7</v>
      </c>
      <c r="E63" s="5">
        <f>B56*(1000)</f>
        <v>1098.9168102871929</v>
      </c>
      <c r="F63" t="s">
        <v>7</v>
      </c>
      <c r="G63" s="5">
        <f>C56*(1000)</f>
        <v>1698.9346084079541</v>
      </c>
      <c r="H63" t="s">
        <v>7</v>
      </c>
      <c r="I63" s="5">
        <f>D56*(1000)</f>
        <v>2561.7258973566309</v>
      </c>
      <c r="J63" t="s">
        <v>7</v>
      </c>
      <c r="K63" s="5">
        <f>E56*(1000)</f>
        <v>3480.5267620406257</v>
      </c>
      <c r="L63" t="s">
        <v>7</v>
      </c>
      <c r="M63" s="5">
        <f>F56*(1000)</f>
        <v>4420.0785719336182</v>
      </c>
    </row>
    <row r="64" spans="1:13" x14ac:dyDescent="0.3">
      <c r="C64" t="s">
        <v>12</v>
      </c>
      <c r="D64" t="s">
        <v>7</v>
      </c>
      <c r="E64" s="5">
        <f>B57*(1000)</f>
        <v>145.38353519396171</v>
      </c>
      <c r="F64" t="s">
        <v>7</v>
      </c>
      <c r="G64" s="5">
        <f>C57*(1000)</f>
        <v>302.67026505178166</v>
      </c>
      <c r="H64" t="s">
        <v>7</v>
      </c>
      <c r="I64" s="5">
        <f>D57*(1000)</f>
        <v>564.10610847814655</v>
      </c>
      <c r="J64" t="s">
        <v>7</v>
      </c>
      <c r="K64" s="5">
        <f>E57*(1000)</f>
        <v>878.30687830687827</v>
      </c>
      <c r="L64" t="s">
        <v>7</v>
      </c>
      <c r="M64" s="5">
        <f>F57*(1000)</f>
        <v>1218.1386889786049</v>
      </c>
    </row>
    <row r="65" spans="3:13" x14ac:dyDescent="0.3">
      <c r="C65" t="s">
        <v>13</v>
      </c>
      <c r="D65" t="s">
        <v>7</v>
      </c>
      <c r="E65" s="5">
        <f>B58*(1000)</f>
        <v>2.0844304019638445E-2</v>
      </c>
      <c r="F65" t="s">
        <v>7</v>
      </c>
      <c r="G65" s="5">
        <f>C58*(1000)</f>
        <v>3.2912058978303751E-2</v>
      </c>
      <c r="H65" t="s">
        <v>7</v>
      </c>
      <c r="I65" s="5">
        <f>D58*(1000)</f>
        <v>5.2659294365546172E-2</v>
      </c>
      <c r="J65" t="s">
        <v>7</v>
      </c>
      <c r="K65" s="5">
        <f>E58*(1000)</f>
        <v>7.3660322475591941E-2</v>
      </c>
      <c r="L65" t="s">
        <v>7</v>
      </c>
      <c r="M65" s="5">
        <f>F58*(1000)</f>
        <v>9.2641351198501504E-2</v>
      </c>
    </row>
    <row r="66" spans="3:13" x14ac:dyDescent="0.3">
      <c r="C66" t="s">
        <v>14</v>
      </c>
      <c r="D66" t="s">
        <v>7</v>
      </c>
      <c r="E66" s="5">
        <f>B59*(1000)</f>
        <v>0.51143137260129534</v>
      </c>
      <c r="F66" t="s">
        <v>7</v>
      </c>
      <c r="G66" s="5">
        <f>C59*(1000)</f>
        <v>0.85273535505145892</v>
      </c>
      <c r="H66" t="s">
        <v>7</v>
      </c>
      <c r="I66" s="5">
        <f>D59*(1000)</f>
        <v>1.3308769054511653</v>
      </c>
      <c r="J66" t="s">
        <v>7</v>
      </c>
      <c r="K66" s="5">
        <f>E59*(1000)</f>
        <v>1.829019236906122</v>
      </c>
      <c r="L66" t="s">
        <v>7</v>
      </c>
      <c r="M66" s="5">
        <f>F59*(1000)</f>
        <v>2.3341823034261169</v>
      </c>
    </row>
    <row r="67" spans="3:13" x14ac:dyDescent="0.3">
      <c r="C67" t="s">
        <v>15</v>
      </c>
      <c r="D67" t="s">
        <v>7</v>
      </c>
      <c r="E67" s="5">
        <f>B60*(1000)</f>
        <v>1.3098999473406681</v>
      </c>
      <c r="F67" t="s">
        <v>7</v>
      </c>
      <c r="G67" s="5">
        <f>C60*(1000)</f>
        <v>2.1868234743431385</v>
      </c>
      <c r="H67" t="s">
        <v>7</v>
      </c>
      <c r="I67" s="5">
        <f>D60*(1000)</f>
        <v>3.4140775846935929</v>
      </c>
      <c r="J67" t="s">
        <v>7</v>
      </c>
      <c r="K67" s="5">
        <f>E60*(1000)</f>
        <v>4.6954537475866358</v>
      </c>
      <c r="L67" t="s">
        <v>7</v>
      </c>
      <c r="M67" s="5">
        <f>F60*(1000)</f>
        <v>5.9973085249545743</v>
      </c>
    </row>
  </sheetData>
  <mergeCells count="2">
    <mergeCell ref="A47:F47"/>
    <mergeCell ref="A23:F23"/>
  </mergeCells>
  <phoneticPr fontId="4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Rojo</dc:creator>
  <cp:lastModifiedBy>Vince Rojo</cp:lastModifiedBy>
  <dcterms:created xsi:type="dcterms:W3CDTF">2026-07-17T22:47:09Z</dcterms:created>
  <dcterms:modified xsi:type="dcterms:W3CDTF">2026-07-23T08:23:54Z</dcterms:modified>
</cp:coreProperties>
</file>